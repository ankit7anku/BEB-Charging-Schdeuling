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kit\Desktop\CTU 27 Feb\"/>
    </mc:Choice>
  </mc:AlternateContent>
  <xr:revisionPtr revIDLastSave="0" documentId="13_ncr:1_{A3C59F40-247C-4234-8ED2-F1C75E65DD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TU BUS Energy Consumption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3" i="1"/>
  <c r="I4" i="1"/>
  <c r="I5" i="1"/>
  <c r="I6" i="1"/>
  <c r="I7" i="1"/>
  <c r="I8" i="1"/>
  <c r="I9" i="1"/>
  <c r="I10" i="1"/>
  <c r="I11" i="1"/>
  <c r="I12" i="1"/>
  <c r="I2" i="1"/>
  <c r="G71" i="1"/>
</calcChain>
</file>

<file path=xl/sharedStrings.xml><?xml version="1.0" encoding="utf-8"?>
<sst xmlns="http://schemas.openxmlformats.org/spreadsheetml/2006/main" count="245" uniqueCount="203">
  <si>
    <t>Sr.No</t>
  </si>
  <si>
    <t>Route No.</t>
  </si>
  <si>
    <t>Description of Routes</t>
  </si>
  <si>
    <t>Time</t>
  </si>
  <si>
    <t>Frequency</t>
  </si>
  <si>
    <t>Length in KM</t>
  </si>
  <si>
    <t>No. of Buses</t>
  </si>
  <si>
    <t>Energy Consumption per KW/KM</t>
  </si>
  <si>
    <t>Total Energy in route required per BUS per route(KW/KM)</t>
  </si>
  <si>
    <t>Total energy consumed for all the bus in route (in KW)</t>
  </si>
  <si>
    <t>New Maloya Colony to Manimajra:via Dadumajra village, CTU W/S, 25/38, 24/25, PGI, 15Mkt,16Mkt,17/16,ISBT-
 17,18Mkt,19Mkt,27Mkt, 28 Mkt, CTU W/shop, R/Stn, R/Crossing, Kala Gram,H/B. (vice versa)</t>
  </si>
  <si>
    <t>06.10 AMto17.20hrs
 New Maloya Colony to Manimajra
 07.30 AM to 18.40 Hrs
 M.Majra to N/Maloya
 Colony</t>
  </si>
  <si>
    <t>20
 Mins.</t>
  </si>
  <si>
    <t>2A</t>
  </si>
  <si>
    <t>MANIMAJRA TO MANIMAJRA Via–Indira Colony, M.M.Town, M/Complex, R/Crossing, Sec- 28/26 G. Mkt,</t>
  </si>
  <si>
    <t>05.40 AM to 20.30hrs</t>
  </si>
  <si>
    <t>20-25
 Mins</t>
  </si>
  <si>
    <t>2C</t>
  </si>
  <si>
    <t>MANI MAJRA TO MANI MAJRA : Via–H.B.Chowk,
 Kalagram, R/Station, CTU W/Shop ,Colony.No-4,Elante Mall, Sec-29/28,30/27, 20/19, 21/18, 22/17, 16/23, 15/24,24/25, 38/25, CTUW/Shop, DMC, Dhanas, SP Barrier, K.Lahora, PGI, 11/15,10/16, ISBT-17, 8/18, 7/19,
 26/28, G.Mkt., R/Crossing,M/Complex, M.M. Town, Indra
 Colony.</t>
  </si>
  <si>
    <t>05.30 AM to 20.20 hrs</t>
  </si>
  <si>
    <t>4A</t>
  </si>
  <si>
    <t>ISBT-43 to ISBT-43 via43/44,35/34,Aroma,22/17,
 16/17,R/Garden,16/10Hospital,OPD,PGI,K/Lahora, I.R.B. Complex, S/P/Barrier,Dhanas,DMC,CTUDepot- III,38west,Maloya, Ph-6, Old Barrier, Franco Hotel, Badheri Chowk,40/41, 41mkt,42mkt.</t>
  </si>
  <si>
    <t>6.45AMto 16.50hrs
 (Time Frq
 06.45-10.40 50-55
 11.05-13.20 25-30
 14.10-16.50 50-55)</t>
  </si>
  <si>
    <t>25-30
 Mins</t>
  </si>
  <si>
    <t>4C</t>
  </si>
  <si>
    <t>ISBT-43 to ISBT-43viaSec-43/44, 42mkt,41mkt,41/40, Badheri Chowk, FrancoHotel,O/Barrier,Ph- 6,Maloya,38west, CTUDepot- III,DMC,Dhanas,S/P/Barrier,I.R.B. Complex,
 K/Lahora,PGI,OPD,10/11,10/16,17/16,ISBT- 17,Aroma,34/35,44/43.</t>
  </si>
  <si>
    <t>7.00AMto 17.05hrs</t>
  </si>
  <si>
    <t>25-30 Min</t>
  </si>
  <si>
    <t>5A</t>
  </si>
  <si>
    <t>Ram Darbar to Ram DarbarviaSec- 47mkt,46/47,32/31,30/29,27/28,27/26,19/7,18/8,17/9,1
 6/10,
 15/11, PGI, Uni., 15/14, 24/25, 37/38, 38/40,
 39/38west,Maloya,Sec-39,40,41,42 mkts, ISBT- 43,44,45,46,47 mkts,Ram Darbar.</t>
  </si>
  <si>
    <t>5.25AMF/ISBT-43toR/D
 5.45AMto 21.25Hrs</t>
  </si>
  <si>
    <t>10
 Mins</t>
  </si>
  <si>
    <t>5C</t>
  </si>
  <si>
    <t>Ram Darbar to Ram Darbar: via Sec-47 mkt, 46, 45, 44 mkts, ISBT-43, 42, 41, 40, 39 mkts, Maloya, 38W/39, 38/40, 38/37, 25/24, 14/15, Uni., PGI, 11/15, 10/16,
 9/17, 8/18, 7/19, 26/27, 28/27, 29/30, 31/32, 47/46, 47
 mkt.</t>
  </si>
  <si>
    <t>5.20 AM F/ISBT-43
 toR/Darbar on5.40AMto
 19.30 Hrs</t>
  </si>
  <si>
    <t>New Maloya Colony to Raipur Kalan:-via Maloya, 38west,38Mkt,37Mkt.36/37,41/42,Sec-42,ISBT-43,
 43/44, 35/34, 34 Mkt, 33 Mkt, 32 Mkt, 31 Mkt,
 Ramdarbar, Tribune Chowk, Hallo Majra, Vikas Nagar. (vice versa)</t>
  </si>
  <si>
    <t>05.50 AM to 17.35 Hrs
 New Maloya Colony to Raipur Kalan
 17.05, 17.35, 18.05, 18.35,
 19.05, 19.50
 New Maloya Colony to 43
 07.20 AM to 18.35 Hrs
 Raipur Kalan to New Maloya Colony</t>
  </si>
  <si>
    <t>30
 Mins</t>
  </si>
  <si>
    <t>New Maloya Colony to Ramdarbar: via MaloyaSec- 38West Light Point, 25/38, 25/24, 24 Mkt, 23 Mkt,23/22, ISBT-17, Aroma, 21 Mkt, 20 Mkt. 30 Mkt. Sec-29/30, GMCH-32, 31/32 Mkt, 32 SD-College, Sec-46/47, 47 Mkt, Industrial Area Phase-2. (viceversa)</t>
  </si>
  <si>
    <t>06.45 AM to 17.05 Hrs
 New Maloya Colony to Ramdarbar
 17.30, 17.55, 18.20, 18.45,
 19.10, 19.35
 New Maloya Colony to 17
 08.00 AM to 18.20 Hrs
 Ramdarbar to New Maloya Colony</t>
  </si>
  <si>
    <t>25
 Mins</t>
  </si>
  <si>
    <t>9A</t>
  </si>
  <si>
    <t>Mansa Devi to MansaDevi :- ViaM/Majra,H.Board,R/Cross., R.Station, CTU W/Shop,28/26G/Mkt.,27/19,30/20,32/33, 46/45, 50/49, 64/63, 68/67, 67/80, Sec-66/ ISB-81, Sec-66/Ind. Area
 Phase-9 Mohali, Phase-11 outer, Sec-48/Jagatpura, 47 outer, R/Darbar,Ind.Area Ph-2, Trib.Chowk, Sec-29
 Nursery, 28 P/Pump, CTUw/s, R/S,R/C, H.Board,M/Majra</t>
  </si>
  <si>
    <t>06.10 AM
 M.MajratoMansaDevi
 20.30 hrs (Last) MansaDevitoCTU W/S</t>
  </si>
  <si>
    <t>9C</t>
  </si>
  <si>
    <t>Mansa Devi to Mansa DeviVia –M.majra, H.B Chowk,R.Crossing, R.Station, CTU W/Shop 28 P.Pump, Indl. Area/Sec-29, Tribune Chowk, Indl. Area Ph-2, Ramdarbar, Outer47, Jagatpura, Ph-11 (65 Mkt Outer), Sec-66/Ind. Area Phase-9 Mohali, Sec-ISB-81/66, Ind. Area Phase-9 Mohali/Sec-66, 80/67,68/67,63/64, 50/49,45/46,33/32,20/30, 19/27,26/27, 26/28, G/Mkt-
 26,TPT/C,R.Crossing,H.B.C, Manimajra.</t>
  </si>
  <si>
    <t>05.40 (From Rly. Stn.) to
 20.45 Hrs (Upto Rly. Stn.)</t>
  </si>
  <si>
    <t>11A</t>
  </si>
  <si>
    <t>Rock Garden to Sukhna Lake:-via BIRD PARK (viceversa)</t>
  </si>
  <si>
    <t>10:10 AM to 15.50 Hrs</t>
  </si>
  <si>
    <t>28A</t>
  </si>
  <si>
    <t>ISBT-43 to Rani Majra:-ViaSec-43/44,Sec-35/34, 23/22, ISBT-17, 17/9, KC/16/10, 11/15, PGI,KhudaLahora,
 S.P.Barrier,M u l l a n p u r , ECO-City, DLF Chowk, ToddeMajra, Rasulpur, Omax Phase-II. Vice versa</t>
  </si>
  <si>
    <t>08.25 AM to 18.00 Hrs
 ISBT to Rani Majra
 07.10 AM to 19.15Hrs
 Rani Majra to ISBT-43</t>
  </si>
  <si>
    <t>75
 Mins</t>
  </si>
  <si>
    <t>28B</t>
  </si>
  <si>
    <t>ISBT-43 to Eco City Block-2 New CHD (Takipur): Via42/43, Attawa, Sec-36/35,37/24, 38/25, DMC, Dhanas, S/P Barrier, Mullanpur, Homi Bhaba, Parol, Majra T-Pont,
 Hosiarpur, Eco City. (vice versa)</t>
  </si>
  <si>
    <t>06.50 AM to 19.20 Hrs
 ISBT-43to Takipur
 06.50 AM to 19.20 Hrs
 Takipur to ISBT-43</t>
  </si>
  <si>
    <t>ISBT-43 to Lake: via43/44, 35/34, Aroma,ISBT-17, 17/18, 9/8 K.C. UT Sectt., MLA Flat, H/Cout, Bird Park. (vice versa)</t>
  </si>
  <si>
    <t>07.20 AMto 19.25hrs
 ISBT-43 to Lake
 08.30 AM to 20.15 hrs
 Lake to ISBT-43</t>
  </si>
  <si>
    <t>20
 Mins</t>
  </si>
  <si>
    <t>70A</t>
  </si>
  <si>
    <t>Jayanti Majri to Mansa Devi:via Parch, Sarangpur Barrier, PGI, New OPD, GMCH-16, ISBT-17, Sector 18,19,27,28 (Market), CTU
 Workshop, Railway Station, Manimajra.</t>
  </si>
  <si>
    <t>07.50 AM (S.P. Barrier) to
 15.50 (upto -17)
 Jayanti Majri to Mansa Devi
 09.50 AM to 14.20 Hrs
 Mansa Devi to Jayanti Majri</t>
  </si>
  <si>
    <t>90
 Mins</t>
  </si>
  <si>
    <t>2F</t>
  </si>
  <si>
    <t>PGI to Platinum Homes:- via New OPD, 2/11, 10/16, 17/16, ISBT-17,17/18, 8/18,7/19,26/27,26/28 G.Mkt., TPT
 area, CTUw/s, Rly/Stn, Rly/Crossing, H.B.Chowk,PanchkulaSector-8/17,9/16,10/15,11/12, Pkl B/S, Sec-4 Pkl., Sec-21 Pkl., Sec-20 Pkl., Sushma
 Square/Dhakoli, Paltinum Homes (vice versa)</t>
  </si>
  <si>
    <t>05.40 AM to 18.20
 hrs from PGI to Platinum Homes
 06.20 AM to 18.50
 hrs from Platinum Homes to PGI</t>
  </si>
  <si>
    <t>2G</t>
  </si>
  <si>
    <t>PGI to Panchkula Bus Stand:-viaSec-11/15,16/10, 9/17, Madhaya Marg, 8/18, 7/19, 26/27, G-Mkt-26, Housing Board, Geeta Bhawan PKL. (vice versa)</t>
  </si>
  <si>
    <t>08.30 AM to 14:20 Hrs
 from PGI to PKL Bus Stand
 08.30 AM to 14.20 Hrs
 from PKL Bus Stand to PGI</t>
  </si>
  <si>
    <t>50
 Mins</t>
  </si>
  <si>
    <t>MOHALI Ph-XI to PGI :- via Sec-49/48,
 Jagatpura,47Mkt.,46Mkt.,45Mkt.,44Mkt.,ISBT- 43,44/43,35/34, Aroma,22/17, 16/17, 16/10(Hospital), PEC, OPD. (vice versa)</t>
  </si>
  <si>
    <t>06.05 AMto20.50hrs</t>
  </si>
  <si>
    <t>ISBT-43 TO Manimajravia.Sec-44/51,45 Mkt,46 Mkt,47mkts,RamDarbar,TribuneChowk,Paultry Farm, Colony No.-4, CTU w/s, R/Station, Railway Crossing, H/BChowk.(viceversa)</t>
  </si>
  <si>
    <t>05.25AMto 19.25hrs
 ISBT-43 to Mani Majra
 06.35AMto20.35hrs
 Mani Majra to ISBT-43</t>
  </si>
  <si>
    <t>Railway Station TO CIVIL SECTT.Via. CTU W/shop, Sec-26 G/Mkt, 26/27, 7/19, 8/18, ISBT-17, UT Sectt., High Court vice versa.</t>
  </si>
  <si>
    <t>08.35 AM to 16.40
 hrs(Last)</t>
  </si>
  <si>
    <t>60
 Mins</t>
  </si>
  <si>
    <t>ISBT-43 TO BEHLANA Via – Sec 42/43, Sec- 36/35,
 23/22, ISBT-17, Aroma,21 Mkt,20 Mkt,30 Mkt, 29 Mkts, ElanteMall, Colony No. 4, H/Majra,Behlana. (viceversa)</t>
  </si>
  <si>
    <t>05.35 AMto 18.00hrs
 ISBT-43 to Behlana
 06.35 AM to 19.00 hrs
 Behlana to ISBT-43</t>
  </si>
  <si>
    <t>15
 Mins</t>
  </si>
  <si>
    <t>ISBT-43 TO KAIMBWALAvia.Sec42/43,Attawa, Sec-36/35, 23/22, 17 B/S, 17/18, 9/8, 9 mkt, MLA Flat,
 Pb.Civil.Sectt,H/Court,Lake,Kaimbwala&amp;samerouteback..( viceversa)</t>
  </si>
  <si>
    <t>06.10 AM to 19.15
 HrsfromISBT-43 to Kaimbwala
 6.40 AM to 20.15
 Hrs from Kaimbwala to ISBT-43</t>
  </si>
  <si>
    <t>ISBT-43 TO Mansa Devi: Via – Sec 43/44, Sec- 35/34, 23/22,ISBT-17, Sec-8/9, Lake Chowk, Kishangarh, IT Park, Mansa Devi Complex. (viceversa).</t>
  </si>
  <si>
    <t>08.30 AM to 14:30 Hrsfrom ISBT-43 to Mansa Devi
 08.30 AM to 14.30 Hrs
 from Mansa Devi to ISBT-
 43</t>
  </si>
  <si>
    <t>CHD TO KHARAR:-Via Aroma,Sec-21 Mkt., 20/21
 divided,33/34,44/45, ISBT-43, YPS, Ph-7, Sohana, Lakhnaur, Landran,ChapparChiri,SanteMajra.(viceversa).</t>
  </si>
  <si>
    <t>05.30 AMto 20.00hrs
 CHD to Kharar
 06.45 AM to 20.45 Hrs
 Kharar to CHD 05.45, 06.45, 07.45,
 ISBT-17 to 43
 19.00, 19.30, 20.00, 20.30,
 21.00, 21.20
 Kharar to 43</t>
  </si>
  <si>
    <t>15-30
 Mins</t>
  </si>
  <si>
    <t>20A</t>
  </si>
  <si>
    <t>CHD TO KHARAR:-ViaAroma, Sec-21/34,33/34,44/45,
 ISBT-43, YPS, Ph-7, PSEB, Fortis Hospital, Forest Complex, Kumbra Village, Sec-68/69 Sohana, Lakhnaur, Landran,ChapparChiri,SanteMajra.(vice versa).</t>
  </si>
  <si>
    <t>07.45 AM to 18.45Hrs
 CHD to Kharar
 06.15 to 20.15
 Kharar to CHD</t>
  </si>
  <si>
    <t>ISBT-43 to ITParkviaSec-42/43,36/35,23/22,ISBT-17,
 17/18 L/Point, 18, 19, 27, 28 mkts, CTU w/s, R/Station, R/Crossing, H/BChowk, M/Majra, Kishangarh (viceversa).</t>
  </si>
  <si>
    <t>5.40AMTO19.20hrs from ISBT-43 to IT Park
 6.50AMto 20.30Hrs from IT Park to ISBT-43</t>
  </si>
  <si>
    <t>20
 Min</t>
  </si>
  <si>
    <t>23A</t>
  </si>
  <si>
    <t>ISBT-43 TO KHUDA ALISHER: via. Sec-43/44, 35/34, Aroma, 22/17, 16/17, 16/10, 15/11, PGI, NewOPD, PEC, NayaGaon.
 (viceversa)</t>
  </si>
  <si>
    <t>05.30 AM to20.40hrs
 ISBT-43 to Khuda Ali Sher
 06.30 AM to 21.30
 hrsKhuda Ali Sher to ISBT- 43</t>
  </si>
  <si>
    <t>15
 Min</t>
  </si>
  <si>
    <t>24A
 (Night/S)</t>
  </si>
  <si>
    <t>ISBT 43 TO PGI-VIA-. Sec-43/44,35/34,Aroma22/17,
 16/10(Hospital),15/11viceversa.</t>
  </si>
  <si>
    <t>22.00hrsto 04.40AM</t>
  </si>
  <si>
    <t>80
 Mins</t>
  </si>
  <si>
    <t>24C
 (Night/S)</t>
  </si>
  <si>
    <t>ISBT 17 to ISBT-43-via-Sec42/43, Attawa, Sec-36/3523/22, ISBT-17viceversa.</t>
  </si>
  <si>
    <t>22.15 hrsto 05.20AM</t>
  </si>
  <si>
    <t>45
 Mins</t>
  </si>
  <si>
    <t>MULLANPUR ECO CITY TO DHAKOLIviaMullanpur, S.P.Barrier,K.Lahora,PGI,OPD, 2/11, 10/11,10/16,ISBT-
 17,19/20,28P.P.,CTU w/s, R/S, Colony No. 4, Hallo Majra, Airport,Zirakpur,Dhakoli, Goldan Sand Apprtment.</t>
  </si>
  <si>
    <t>06.00 AM to 19.25 Hrs
 from Eco City To Dhakoli
 06.00 AM to 18.50
 HrsDhakoli to Eco City</t>
  </si>
  <si>
    <t>35
 Mins</t>
  </si>
  <si>
    <t>NEW MALOYA COLONY TO MANI MAJRA:-Via Maloya,
 DadduMajra Village, 38w, 38Mkt, 37Mkt, 36Mkt, 36/35, 23/22,ISBT-17, 8/18,7/19,26/28,26-G/Mkt, CTU/w/s,
 R/Station,Kalagram ,H.Board. (vice versa)</t>
  </si>
  <si>
    <t>06.15 to 18.30 hrs New Maloya Colony to Mani
 Majra 07.45to20.00hrs
 Mani Majra to New Maloya Colony</t>
  </si>
  <si>
    <t>ISBT-43 TO NADA SAHIB:-via Sec 42/43, Attawa, 36/35, 23/22,ISBT-17,Aroma,21,20Mkts., 19 Mkt., 19/27,26/27,
 G.Mkt-26, R/C, Kalagram, H.Board, Manimajra,
 CommandHospital, Majri Chowk.(viceversa)</t>
  </si>
  <si>
    <t>06.35 AM to 19.55 Hrs
 ISBT-43 to N.Sahib
 06.05 AM to 19.55
 HrsN.Sahib to ISBT-43</t>
  </si>
  <si>
    <t>30A</t>
  </si>
  <si>
    <t>ISBT-43 TO CANTONMENTvia. Sec -42/43, Attawa, 36/35,
 K/Bhawan,22/35,21/34,20/33,30/32,29/31,Tribune,H/Majr a,ColonyNo.4,CTUw/s, R/Station,RailwayCrossing,Kalagram,H.BChowk, Fun
 Republic,CommandHospital.Tank Chowk.(viceversa)</t>
  </si>
  <si>
    <t>05.10 Am to 19.40hrs from ISBT-43 to Cantonment
 06.25 AM to 20.45
 Cantonment to ISBT-43</t>
  </si>
  <si>
    <t>30B</t>
  </si>
  <si>
    <t>ISBT-43 TO Ramgarh :- via Sec 42/43, Attawa, 36/35, 23/22,ISBT-17,Aroma,21 Mkt.,20Mkts., 19/27,27 Mkt.,
 G.Mkt-26, R/C, Kalagram, H.Board, 11/15 Pkl, 12/11 Pkl,Raily Chowk, Sec-4 Pkl, Nada Sahib.(viceversa)</t>
  </si>
  <si>
    <t>06.30 AMto 19.00 Hrs
 ISBT-43 to Ramgarh
 07.20 to19.00Hrs
 Ramgarh to ISBT-43</t>
  </si>
  <si>
    <t>PGI TO Derabassi :- Via OPD, Sec-11/10, Sec-10/16, Sec- 17/16,ISBT-17, Sec-8/18,7/19, 26/28, G.Mkt,-26, R/C,
 H/B, M/Majra, OldPkl, NadaSahib, Ramgarh, Mubarakpur. (viceversa)</t>
  </si>
  <si>
    <t>05.00 AMto 19.00 Hrs
 PGI to Derabassi
 06.45 to 20.55
 Derabassi to PGI</t>
  </si>
  <si>
    <t>32B</t>
  </si>
  <si>
    <t>PGI TO Ramgarh :- viaNew OPD, Sector-2/11, 10/16, 17/16, ISBT-17,17/18, 8/18, 7/19, 26/27,GrainMkt.-26,
 TPT area, CTU W/Shop, Railway Station,RailwayCrossing,KalagramH.B.Chowk, 8/17 Pkl, 9/16Pkl,10/15, Pkl B/S,11/4 Outer, 3/21 Pkl, Sec-24 Pkl, 25 Pkl, 26 Pkl, 27/28 Pkl.(viceversa)</t>
  </si>
  <si>
    <t>06.05 AMto19.45hrs
 PGI to Ramgarh
 06.25 AM to 19.05 Hrs
 Ramgarh to PGI</t>
  </si>
  <si>
    <t>PGI TO DERABASSI.viaOPD,PEC,10/16,ISBT-17, Aroma,
 PiccadillyChowk,21/34,20/33,30/32,29/31, Hallo Majra, Airport,Zirakpur,Bankharpur,Mubarakpur.(viceversa)</t>
  </si>
  <si>
    <t>06.25AMto 19.25 Hrs PGI
 to Derabassi
 06.15 AM to 18.55 Hrs
 Derabassi to PGI</t>
  </si>
  <si>
    <t>ISBT-17 TO KHARAR:-ViaAroma,Sec-35/22,
 KissanBhawan,35/36,Attawa, Sec- 36/37, 40/41, F/Chowk, Ph-2, Ph-6,Balongi,Daun,DesuMajra, Mundi Kharar.(viceversa)</t>
  </si>
  <si>
    <t>05.40 AM (ISBT-17) to
 21.20. Hrs
 06.40 to 22.20 (PH-6)</t>
  </si>
  <si>
    <t>35A</t>
  </si>
  <si>
    <t>ISBT-17 to Sector-123:-via 16/17, 16/10, 11/15, PEC, New OPD, PGI, 14/15 24/25,37/38, 40/41, P.B. Barrier,
 Balongi, Daun, KFC, Jalvayu Tower, Sec-124/125. (vice
 versa)</t>
  </si>
  <si>
    <t>06.00 AM to 19.20
 ISBT-17 to Sector-123
 07.20 AM to 20.40 (PGI)
 Sector-123 to ISBT-17</t>
  </si>
  <si>
    <t>40
 Mins</t>
  </si>
  <si>
    <t>35B</t>
  </si>
  <si>
    <t>ISBT-17 to Kharar:-ViaAroma,Sec-35/22,KissanBhawan, 35/36, Atawa, ISBT-43, F/Chowk, Ph-2,Ph- 6,Balongi,Daun,DesuMajra,MundiKharar.(viceversa)</t>
  </si>
  <si>
    <t>05.20 AM to 21.10 Hrs
 ISBT-17toKharar
 06.20 AM to 22.00 (PH-6)
 Kharar to ISBT-17</t>
  </si>
  <si>
    <t>10-20
 Mins</t>
  </si>
  <si>
    <t>37
 (Night/S)</t>
  </si>
  <si>
    <t>ISBT 43 TO MANIMAJRAvia-.Sec42/43, Attawa,Sec- 36/35, 23/22, ISBT-17, Sec 18 mkt, Sec 19 mkt , Sec 27mkt, 28mkt,CTUw/s, Rly. Stn., H/Board, M.Majra.vice versa.</t>
  </si>
  <si>
    <t>21.10hrsto03.50 AM</t>
  </si>
  <si>
    <t>PGI TO Jheurherri:-Via New OPD, PEC, 10/16, ISBT-17, 22/23,35/36,43/42, ISBT-
 43,51,50,49,48mkt,Jagatpura,65mktouter,White House, Indl. Area Ph-9, Sec-82 mkt, New Airport Chowk Nandiali.(viceversa)</t>
  </si>
  <si>
    <t>07.40 AM (ISBT-43 ) 15.00
 hrs
 PGI to Jheurherri
 08.30 AM to 16.30 (ISBT-
 43)
 Jheurherri to PGI</t>
  </si>
  <si>
    <t>38B</t>
  </si>
  <si>
    <t>PGI to Tangori via New OPD, PEC, Sec-10A/11B, Sec-10D/11C, Sec-16/10 GMCH, Sec-16/17-Matka Chowk, Sec-16/17 MC Office, ISBT-17, Sec-22/17, Sec-22/23, Kisan Bhawan, Sec- 22/17, Sec-22/23, Kisan Bhawan, Sec-35/36, Attawa, Sec- 43/42, ISBT-43, Sec-51/52, YPS(UT, Border), Sec-61/62, Sec-
 70/69, Sohana, Sec-68/79, Sec-67/80, Sec-66/81 (IISER), Sec- 82, Aero City Block-D, Manav International School, Amity University, Sec-82A, HDFC head office chowk, Plaksha
 University, R.B.P. City, Sunny-Gilco Park, T-Point Flyover Derri.</t>
  </si>
  <si>
    <t>06.30 AM to 17.00 Hrs
 PGI to Tangori
 08.15 AM to 18.45 Hrs
 Tangori to PGI</t>
  </si>
  <si>
    <t>70
 Mins</t>
  </si>
  <si>
    <t>Mohali Ph-11 to PGI Via Mohali Rly. Stn.,Indl.AreaPh- 9,MohaliSec-66/67 Mkts, 67/68, 68 outer, 69/68, Kumbra, Edu.BoardPb.,Forties, Ph-7 Light Point, Chawla Chowk, Sec-60/61, 52/61,YPSChowk,ISBT- 43,42/43,36/35,23/22,ISBT-17,22/17, 16/10,11/10,
 PEC,OPD..(viceversa)</t>
  </si>
  <si>
    <t>5.15AMISBT-43TO PGI
 5.50AMTO20.35hrs
 05.55ISBT-43toPhase-11,
 06.35to21.20hrs</t>
  </si>
  <si>
    <t>ISBT-43 TO SAKETRI (KAIMBWALA) via. Sec-43/44,35/34, K.Bhawan, 23/22, ISBT-17,18,19,27Mkts,
 G/Mkt, R/Crossing, M/M Complex, M/M Town, M/Majra, Swastik Vihar, MansaDevi,Saketri. (viceversa)</t>
  </si>
  <si>
    <t>07.30 AM to 19.30 Hrs
 ISBT-43 to Kaimbwala
 07.30 AM to 19.30 Hrs
 Kaimbwala to ISBT-43</t>
  </si>
  <si>
    <t>PGI TO CHHATTBIR ZOOviaOPD, PEC,10/16,ISBT-17,Aroma,
 Sec-21,20Mkt.,Sec- 20/30,32Hospital,TribuneChowk,HalloMajra,Airport,Zirakp ur,Dayalpura.(viceversa)</t>
  </si>
  <si>
    <t>07.45 AM 18.15Hrs
 PGItoChattbirZoo
 07.00 Hrs to 18.15.Hrs ChattbirZoo to PGI</t>
  </si>
  <si>
    <t>PGI To ZIRAKPURviaNew OPD, PEC, 10/16, ISBT-17,
 Aroma, 20 mkt, 30 mkt, 29 mkt, Elante Mall, Colony
 No.4, Hallomajra, Mouli Jagran, Raipur Kalan, Baltana(viceversa)</t>
  </si>
  <si>
    <t>06.45AMto 20.15Hrs
 PGI to Zirakpur
 06.30 AM to 20.00 Hrs
 Zirakpur to PGI</t>
  </si>
  <si>
    <t>ISBT-43 to Zirakpur -via 42/43, Attawa, Kissan Bhawan, 23/22, ISBT-17, Aroma, Piccdly Chowk, 21/34, 20/33, 30/32, 29/31, Tribune Chowk, Hallomajra, Mouli Jagran, Raipur Kalan,
 Baltana.viceversa</t>
  </si>
  <si>
    <t>06.30 AM to 19.00 Hrs
 ISBT-43 to Zirakpur
 06.15 Hrs to 19.45
 Zirakpur to ISBT-43</t>
  </si>
  <si>
    <t>30 Mins</t>
  </si>
  <si>
    <t>PGI TO Manoli: - OPD, PEC, 10/16, 17/16, ISBT-17,Aroma, Sec34/35, 44/43, ISBT-43, 52/51, YPS, 61/62, Sohana, 68/80
 81/82. Vice versa</t>
  </si>
  <si>
    <t>07.20 AM (ISBT-17 to
 Manoli) to 17.40 (Manoli to 22/17)</t>
  </si>
  <si>
    <t>123A</t>
  </si>
  <si>
    <t>PGI to MOHALI R/STATION, Phase-11 :- viaOPD, PEC, 11/10, 10/16, ISBT-17, Aroma, 34/35, 44/43, ISBT-43,
 51mkt, U.T. Border, 62/63, 63kt, 64mkt, 65, mkt,. Vice versa</t>
  </si>
  <si>
    <t>06.25AM to 19.25 Hrs
 PGIto Rly. Stn.
 06.40 AM to 19.40 Hrs
 Rly.Stn. to PGI</t>
  </si>
  <si>
    <t>ISBT-43 TO PB. CIVIL.SECTT.(HIGHCOURT):viaSec -43/44, 42/43,36/35,23/22,ISBT-17,17/18,K.C,U.T.Sectt,MLA Flat,
 H/Court, Pb/HR.Sectt. (vice versa)</t>
  </si>
  <si>
    <t>7.15AMto19.15HRS ISBT-43
 to Pb.Civil. Sectt.
 08.00 AM to 20.00
 hrsPb.Civil. Sectt. To ISBT-43</t>
  </si>
  <si>
    <t>ISBT-43 toPGI: via Sector 34/35, Aroma, Sector 22/17,16 General Hospital, NEW OPD..(viceversa)</t>
  </si>
  <si>
    <t>06.15AMTO 20.20 HRS ISBT-43 to PGI
 05.30 AM TO 19.35 HRS PGI TO ISBT-43</t>
  </si>
  <si>
    <t>ISBT-43 to IT Park:via Attawa, Kissan Bhawan, 23/22,ISBT-17, 17/18, 8/18, 7/19, 26/27, G/Mkt, TPT,
 R/Crossing, H/B Chowk,M/Majra, Indira Colony, Kishangarh.(vice versa)</t>
  </si>
  <si>
    <t>06.10 AM TO18.10HRS
 ISBT-43 to IT Park 07.20AMto 19.20hrs
 IT Park to ISBT-43</t>
  </si>
  <si>
    <t>PGI to DerabassiviaNewOPD,PEC10/16,ISBT- 17,Aroma,PiccadlyChowk,21/34,20/33,30/32,29/31,Hallo majra,Airport,Zirakpur,Bhankarpurand.(vice versa)</t>
  </si>
  <si>
    <t>06.50 AMto19.50hrs
 PGI to Derabassi
 06.10 AM to 19.10 Hrs
 Derabassi to PGI</t>
  </si>
  <si>
    <t>20 Mins</t>
  </si>
  <si>
    <t>LANDRAN to DERABASSI Via–Dc.office/Lakhnour, Sohana,Sec-69/68,Fortis/PSEB, Sec-62/63, Sec-51,ISBT- 43, Sec-44, Sec-45, Sec-46/47, Sec-
 32/31(Hospital),Tribune Chowk , Hallo Majra, Airport
 Chowk , Zirakpur,Singhpura,Bhankharpur,AndViceVersa</t>
  </si>
  <si>
    <t>07.00 AM to 19.20 Hrs
 Landran to Derabassi
 07.05 AM to 18.25 Hrs</t>
  </si>
  <si>
    <t>50-55
 Mins</t>
  </si>
  <si>
    <t>Mullanpur ECO City to Nada Sahibvia S.P. Barrier, KhudaLahora, PGI,OPD,PEC,Sec-10/16,17/16,ISBT-
 17,18Mkt.,19Mkt.,27 Mkt., 28 Mkt., Indl. area/Ph.1, Rly. Station, Rly.
 Crossing,H/B.Chowk,M.Majra,M.Hospital,oldP.Kula,Majri
 chowk.(viceversa)</t>
  </si>
  <si>
    <t>07.00 AM to 19.15 Hrs
 Eco City to Nada Sahib
 05.50 AM 18.05 Hrs
 Nada Sahib to Eco City</t>
  </si>
  <si>
    <t>DHANAS TO Bhabhatvia S.P. Barrier, KhudaLahora, PGI, OPD, PEC,10/16,ISBT-17,Aroma, Sec-21,20Mkt.,Sec-
 30/32,29/31, HalloMajra,Airport,Zirakpur,Naba Sahib, Joshi Farm, Victoria Enclave.(viceversa)</t>
  </si>
  <si>
    <t>07.00 AM to 19.00 Hrs
 Dhanas to Bhabhat
 06.30 AM to 19.30 Hrs
 Bhabhat to Dhanas</t>
  </si>
  <si>
    <t>ISBT-43 TO MATAMANSA DEVI via:- Sec-43/44,35/34,
 kissan Bhawan, 23/22, ISBT-17, Aroma, Sec-21, 20, 30, 29 mkts, ElanteMall,ColonyNo.-4,CTUw/s,R/Station,
 R/Crossing, Kalagram,H/BChowk, M/Majra. (vice versa)</t>
  </si>
  <si>
    <t>05.15 AM to 19.45 hrsfrom ISBT-43 toMansaDevi.
 06.30 AM to 20.50
 hrsMansaDevi to ISBT-43.</t>
  </si>
  <si>
    <t>ISBT-43 TO DERABASSI viaSec42/43, Attawa, 36/35,
 KissanBhawan, 23/22, ISBT-17, Aroma, Sec- 21/34, Sec- 20/33,Sec-30/32,TribuneChowk,HalloMajra, Airport Chowk, Zirakpur, Bankharpur. (viceversa).</t>
  </si>
  <si>
    <t>05.10 AM to 07.00
 AMISBT-43 to Zirakpur
 07.00 AMto20.00hrs ISBT-
 43 to Derabassi 06.05AM to 06.25 AM
 ZirakpurtoISBT- 43,
 06.20AMto21.10hrsDeraba
 ssi to ISBT-43</t>
  </si>
  <si>
    <t>ISBT-43 TO MATAMANSA DEVI via: - Sec-43/44,35/34,
 kissan Bhawan, 23/22, ISBT-17, Aroma, Sec-21, 20, 30, 29 mkts, ElanteMall,ColonyNo.-4,CTUw/s,R/Station, R/Crossing, Kalagram,H/BChowk, M/Majra. (vice versa)</t>
  </si>
  <si>
    <t>ISBT-43 to Mansa Devi via Sec-52/53, Sec-52/61, YPS, 51mkt,Sec-51/50, 50 mkt, 49/50, 50/45, 44C/45D
 Gaushala,45mkt,45/46,32/33,20/30,19/27,27 mkt,G/Mkt-26, TP-TChowk, CTUw/s.Indl.Area.Ph-
 1,R/Station,R/Crossing,H/B Chowk,M/Majra. (viceversa)</t>
  </si>
  <si>
    <t>05.20to19.55hrsfrom ISBT- 43 toMansaDevi.
 06.35to21.10hrs MansaDevi to ISBT-43.</t>
  </si>
  <si>
    <t>PGI to Tangori viaDerri, Saneta, Landran, Lakhnaur, Sohana, SCL(Light Point), IVY Hospital, Ph-5/3 light point Madanpur,Furniture Chowk, Sector-42 College,ISBT-43, 43/44,35/34, Aroma, Sec-22/17, 16/10,
 16Hospital,11/10,PEC,New OPD.(vice versa)</t>
  </si>
  <si>
    <t>05.20,05.45,06.10,06.35
 AM(ISBT-43toDerri) 06.15AMPGIto Derri.
 19.10 hrs PGI to Derri.19.35, 19.55 hrs
 PGI toLandran.
 20.15,20.35,20.55hrsPGI toISBT-43</t>
  </si>
  <si>
    <t>ISBT 17 TO Jayanti Majri:-via-Sec-16/17, 16/10, PEC, New OPD, PGI, S.P. Barrier, Parch. (Vice versa).</t>
  </si>
  <si>
    <t>07.50 AM (S.P. Barrier to Jayanti Majri) to 14.20 Hrs</t>
  </si>
  <si>
    <t>120
 Mins</t>
  </si>
  <si>
    <t>ISBT-17 TO KURALI :- via Mullanpur, Block. (vice versa)</t>
  </si>
  <si>
    <t>05.15 AM to 19.10Hrs
 (Block)
 ISBT-17TO KURALI
 06.20 AM to 20.15 (Block)
 ISBT-17TO KURALI</t>
  </si>
  <si>
    <t>30-40
 Mins</t>
  </si>
  <si>
    <t>35D</t>
  </si>
  <si>
    <t>ISBT-17 TO Kharar:- via Sec-16/23, 24/15 Indra Holiday Home, 25/25 Light Point, 24/25 Bhaskar Chowk, 24/37 Batra Theater, 36/37, 41/42, 40/55, 39/56, Phase-6, ISBT- Mohali, Balongii, Daun, KFC, Desumajra/Nijjer Chowk,
 Mundi Kharar/ Gilco, BansawaliChungi, Kila Chungi, Kharar</t>
  </si>
  <si>
    <t>05.55 AM to 19.45 hrs
 from ISBT-17 to Kharar
 06.55 AM to 20.45 hrs
 from Kharar to ISBT-17</t>
  </si>
  <si>
    <t>ISBT-43 TO Lake:viaSec -43/44, 42/43,36/35,23/22,ISBT-
 17,17/18,K.C,U.T.Sectt,MLA Flat, H/Court, Rock Garden (vice versa)</t>
  </si>
  <si>
    <t>7.15AMto19.15
 ISBT-43 to Lake.
 08.00 AM to 20.00 hrs
 Lake To ISBT-43</t>
  </si>
  <si>
    <t>OMEX TOWER TO MANSA DEVI viaRisort Lake, Ambika Florance, Omex Phase-1/2, Ranimajra, Sainimajra, Bansepur/Omex Cassia, Tidan Cricket Stadium, Togan, Milk Colony, Dhanas Bridge, DMC, CTU Workshop, Sec-38/25 Light Point, Sec-38/25 Dental College, Sec-24/25 Light Point, Pb. Univ., PGI, New OPD, PEC, Sec10A/11B, Sec-10/11 Mkt, Sec-10D/11, GMCH-16, ISBT-17,
 17/18, 8/18, 7/19, 7/26, SGGS-26 College, Police Line-Bapu Dham, Ind.Phase-I, CTU W/Shop, Railway Station, Kalagram,
 Housing Board, Manimajra/Fun Republic.</t>
  </si>
  <si>
    <t>07.30 AM to 21.10 (upto PGI)
 OMEX TOWER TO MANSA DEVI
 07.30 AM to 21.10 (22/17) MANSA DEVI to OMEX
 TOWER</t>
  </si>
  <si>
    <t>38AS</t>
  </si>
  <si>
    <t>ISBT-17 to New Airport via :ISBT-43, Sohana, Sec-82, Mohali Airport Chowk</t>
  </si>
  <si>
    <t>04.20 AM to 22.10 Hrs
 ISBT-17 to New Airport
 01.50 AM to 23.30 Hrs
 New Airport to ISBT-17</t>
  </si>
  <si>
    <t>20-40
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</si>
</sst>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4"/>
      <color theme="1"/>
      <name val="Times New Roman"/>
    </font>
    <font>
      <b/>
      <sz val="12"/>
      <color theme="1"/>
      <name val="Times New Roman"/>
      <family val="1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abSelected="1" zoomScale="96" zoomScaleNormal="96" workbookViewId="0">
      <pane ySplit="1" topLeftCell="A2" activePane="bottomLeft" state="frozen"/>
      <selection pane="bottomLeft" activeCell="N14" sqref="N14"/>
    </sheetView>
  </sheetViews>
  <sheetFormatPr defaultColWidth="12.6328125" defaultRowHeight="15.75" customHeight="1" x14ac:dyDescent="0.25"/>
  <cols>
    <col min="1" max="1" width="14.7265625" customWidth="1"/>
    <col min="3" max="3" width="67.36328125" customWidth="1"/>
    <col min="4" max="4" width="25" customWidth="1"/>
    <col min="9" max="9" width="17.7265625" customWidth="1"/>
    <col min="10" max="10" width="15.7265625" customWidth="1"/>
  </cols>
  <sheetData>
    <row r="1" spans="1:26" s="3" customFormat="1" ht="7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1">
        <v>1</v>
      </c>
      <c r="B2" s="1">
        <v>1</v>
      </c>
      <c r="C2" s="1" t="s">
        <v>10</v>
      </c>
      <c r="D2" s="1" t="s">
        <v>11</v>
      </c>
      <c r="E2" s="1" t="s">
        <v>12</v>
      </c>
      <c r="F2" s="1">
        <v>24</v>
      </c>
      <c r="G2" s="1">
        <v>8</v>
      </c>
      <c r="H2" s="1">
        <v>1.17</v>
      </c>
      <c r="I2" s="1">
        <f>PRODUCT(F2,H2)</f>
        <v>28.08</v>
      </c>
      <c r="J2" s="1">
        <f>PRODUCT(I2,G2)</f>
        <v>224.64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38.299999999999997</v>
      </c>
      <c r="G3" s="1">
        <v>6</v>
      </c>
      <c r="H3" s="1">
        <v>1.17</v>
      </c>
      <c r="I3" s="1">
        <f t="shared" ref="I3:I66" si="0">PRODUCT(F3,H3)</f>
        <v>44.810999999999993</v>
      </c>
      <c r="J3" s="1">
        <f t="shared" ref="J3:J66" si="1">PRODUCT(I3,G3)</f>
        <v>268.86599999999999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1">
        <v>3</v>
      </c>
      <c r="B4" s="1" t="s">
        <v>17</v>
      </c>
      <c r="C4" s="1" t="s">
        <v>18</v>
      </c>
      <c r="D4" s="1" t="s">
        <v>19</v>
      </c>
      <c r="E4" s="1" t="s">
        <v>16</v>
      </c>
      <c r="F4" s="1">
        <v>38.299999999999997</v>
      </c>
      <c r="G4" s="1">
        <v>6</v>
      </c>
      <c r="H4" s="1">
        <v>1.17</v>
      </c>
      <c r="I4" s="1">
        <f t="shared" si="0"/>
        <v>44.810999999999993</v>
      </c>
      <c r="J4" s="1">
        <f t="shared" si="1"/>
        <v>268.86599999999999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32.5</v>
      </c>
      <c r="G5" s="1">
        <v>4</v>
      </c>
      <c r="H5" s="1">
        <v>1.17</v>
      </c>
      <c r="I5" s="1">
        <f t="shared" si="0"/>
        <v>38.024999999999999</v>
      </c>
      <c r="J5" s="1">
        <f t="shared" si="1"/>
        <v>152.1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32.5</v>
      </c>
      <c r="G6" s="1">
        <v>4</v>
      </c>
      <c r="H6" s="1">
        <v>1.17</v>
      </c>
      <c r="I6" s="1">
        <f t="shared" si="0"/>
        <v>38.024999999999999</v>
      </c>
      <c r="J6" s="1">
        <f t="shared" si="1"/>
        <v>152.1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1">
        <v>6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38.4</v>
      </c>
      <c r="G7" s="1">
        <v>12</v>
      </c>
      <c r="H7" s="1">
        <v>1.17</v>
      </c>
      <c r="I7" s="1">
        <f t="shared" si="0"/>
        <v>44.927999999999997</v>
      </c>
      <c r="J7" s="1">
        <f t="shared" si="1"/>
        <v>539.13599999999997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1">
        <v>7</v>
      </c>
      <c r="B8" s="1" t="s">
        <v>32</v>
      </c>
      <c r="C8" s="1" t="s">
        <v>33</v>
      </c>
      <c r="D8" s="1" t="s">
        <v>34</v>
      </c>
      <c r="E8" s="1" t="s">
        <v>31</v>
      </c>
      <c r="F8" s="1">
        <v>38.4</v>
      </c>
      <c r="G8" s="1">
        <v>12</v>
      </c>
      <c r="H8" s="1">
        <v>1.17</v>
      </c>
      <c r="I8" s="1">
        <f t="shared" si="0"/>
        <v>44.927999999999997</v>
      </c>
      <c r="J8" s="1">
        <f t="shared" si="1"/>
        <v>539.13599999999997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1">
        <v>8</v>
      </c>
      <c r="B9" s="1">
        <v>6</v>
      </c>
      <c r="C9" s="1" t="s">
        <v>35</v>
      </c>
      <c r="D9" s="1" t="s">
        <v>36</v>
      </c>
      <c r="E9" s="1" t="s">
        <v>37</v>
      </c>
      <c r="F9" s="1">
        <v>25.5</v>
      </c>
      <c r="G9" s="1">
        <v>6</v>
      </c>
      <c r="H9" s="1">
        <v>1.17</v>
      </c>
      <c r="I9" s="1">
        <f t="shared" si="0"/>
        <v>29.834999999999997</v>
      </c>
      <c r="J9" s="1">
        <f t="shared" si="1"/>
        <v>179.01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1">
        <v>9</v>
      </c>
      <c r="B10" s="1">
        <v>7</v>
      </c>
      <c r="C10" s="1" t="s">
        <v>38</v>
      </c>
      <c r="D10" s="1" t="s">
        <v>39</v>
      </c>
      <c r="E10" s="1" t="s">
        <v>40</v>
      </c>
      <c r="F10" s="1">
        <v>21.5</v>
      </c>
      <c r="G10" s="1">
        <v>6</v>
      </c>
      <c r="H10" s="1">
        <v>1.17</v>
      </c>
      <c r="I10" s="1">
        <f t="shared" si="0"/>
        <v>25.154999999999998</v>
      </c>
      <c r="J10" s="1">
        <f t="shared" si="1"/>
        <v>150.92999999999998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1">
        <v>10</v>
      </c>
      <c r="B11" s="1" t="s">
        <v>41</v>
      </c>
      <c r="C11" s="1" t="s">
        <v>42</v>
      </c>
      <c r="D11" s="1" t="s">
        <v>43</v>
      </c>
      <c r="E11" s="1" t="s">
        <v>37</v>
      </c>
      <c r="F11" s="1">
        <v>37</v>
      </c>
      <c r="G11" s="1">
        <v>4</v>
      </c>
      <c r="H11" s="1">
        <v>1.17</v>
      </c>
      <c r="I11" s="1">
        <f t="shared" si="0"/>
        <v>43.29</v>
      </c>
      <c r="J11" s="1">
        <f t="shared" si="1"/>
        <v>173.16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1">
        <v>11</v>
      </c>
      <c r="B12" s="1" t="s">
        <v>44</v>
      </c>
      <c r="C12" s="1" t="s">
        <v>45</v>
      </c>
      <c r="D12" s="1" t="s">
        <v>46</v>
      </c>
      <c r="E12" s="1" t="s">
        <v>37</v>
      </c>
      <c r="F12" s="1">
        <v>37</v>
      </c>
      <c r="G12" s="1">
        <v>4</v>
      </c>
      <c r="H12" s="1">
        <v>1.17</v>
      </c>
      <c r="I12" s="1">
        <f t="shared" si="0"/>
        <v>43.29</v>
      </c>
      <c r="J12" s="1">
        <f t="shared" si="1"/>
        <v>173.16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1">
        <v>12</v>
      </c>
      <c r="B13" s="1" t="s">
        <v>47</v>
      </c>
      <c r="C13" s="1" t="s">
        <v>48</v>
      </c>
      <c r="D13" s="1" t="s">
        <v>49</v>
      </c>
      <c r="E13" s="1" t="s">
        <v>37</v>
      </c>
      <c r="F13" s="1">
        <v>3</v>
      </c>
      <c r="G13" s="1">
        <v>1</v>
      </c>
      <c r="H13" s="1">
        <v>1.17</v>
      </c>
      <c r="I13" s="1">
        <f t="shared" si="0"/>
        <v>3.51</v>
      </c>
      <c r="J13" s="1">
        <f t="shared" si="1"/>
        <v>3.51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1">
        <v>13</v>
      </c>
      <c r="B14" s="1" t="s">
        <v>50</v>
      </c>
      <c r="C14" s="1" t="s">
        <v>51</v>
      </c>
      <c r="D14" s="1" t="s">
        <v>52</v>
      </c>
      <c r="E14" s="1" t="s">
        <v>53</v>
      </c>
      <c r="F14" s="1">
        <v>23</v>
      </c>
      <c r="G14" s="1">
        <v>2</v>
      </c>
      <c r="H14" s="1">
        <v>1.17</v>
      </c>
      <c r="I14" s="1">
        <f t="shared" si="0"/>
        <v>26.909999999999997</v>
      </c>
      <c r="J14" s="1">
        <f t="shared" si="1"/>
        <v>53.819999999999993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1">
        <v>14</v>
      </c>
      <c r="B15" s="1" t="s">
        <v>54</v>
      </c>
      <c r="C15" s="1" t="s">
        <v>55</v>
      </c>
      <c r="D15" s="1" t="s">
        <v>56</v>
      </c>
      <c r="E15" s="1" t="s">
        <v>40</v>
      </c>
      <c r="F15" s="1">
        <v>23</v>
      </c>
      <c r="G15" s="1">
        <v>6</v>
      </c>
      <c r="H15" s="1">
        <v>1.17</v>
      </c>
      <c r="I15" s="1">
        <f t="shared" si="0"/>
        <v>26.909999999999997</v>
      </c>
      <c r="J15" s="1">
        <f t="shared" si="1"/>
        <v>161.45999999999998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1">
        <v>15</v>
      </c>
      <c r="B16" s="1">
        <v>239</v>
      </c>
      <c r="C16" s="1" t="s">
        <v>57</v>
      </c>
      <c r="D16" s="1" t="s">
        <v>58</v>
      </c>
      <c r="E16" s="1" t="s">
        <v>59</v>
      </c>
      <c r="F16" s="1">
        <v>14</v>
      </c>
      <c r="G16" s="1">
        <v>5</v>
      </c>
      <c r="H16" s="1">
        <v>1.17</v>
      </c>
      <c r="I16" s="1">
        <f t="shared" si="0"/>
        <v>16.38</v>
      </c>
      <c r="J16" s="1">
        <f t="shared" si="1"/>
        <v>81.899999999999991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1">
        <v>16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27.5</v>
      </c>
      <c r="G17" s="1">
        <v>2</v>
      </c>
      <c r="H17" s="1">
        <v>1.17</v>
      </c>
      <c r="I17" s="1">
        <f t="shared" si="0"/>
        <v>32.174999999999997</v>
      </c>
      <c r="J17" s="1">
        <f t="shared" si="1"/>
        <v>64.349999999999994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1">
        <v>17</v>
      </c>
      <c r="B18" s="1" t="s">
        <v>64</v>
      </c>
      <c r="C18" s="1" t="s">
        <v>65</v>
      </c>
      <c r="D18" s="1" t="s">
        <v>66</v>
      </c>
      <c r="E18" s="1" t="s">
        <v>16</v>
      </c>
      <c r="F18" s="1">
        <v>31</v>
      </c>
      <c r="G18" s="1">
        <v>10</v>
      </c>
      <c r="H18" s="1">
        <v>1.17</v>
      </c>
      <c r="I18" s="1">
        <f t="shared" si="0"/>
        <v>36.269999999999996</v>
      </c>
      <c r="J18" s="1">
        <f t="shared" si="1"/>
        <v>362.69999999999993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">
      <c r="A19" s="1">
        <v>18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13</v>
      </c>
      <c r="G19" s="1">
        <v>2</v>
      </c>
      <c r="H19" s="1">
        <v>1.17</v>
      </c>
      <c r="I19" s="1">
        <f t="shared" si="0"/>
        <v>15.209999999999999</v>
      </c>
      <c r="J19" s="1">
        <f t="shared" si="1"/>
        <v>30.419999999999998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4">
      <c r="A20" s="1">
        <v>19</v>
      </c>
      <c r="B20" s="1">
        <v>8</v>
      </c>
      <c r="C20" s="1" t="s">
        <v>71</v>
      </c>
      <c r="D20" s="1" t="s">
        <v>72</v>
      </c>
      <c r="E20" s="1" t="s">
        <v>53</v>
      </c>
      <c r="F20" s="1">
        <v>21</v>
      </c>
      <c r="G20" s="1">
        <v>2</v>
      </c>
      <c r="H20" s="1">
        <v>1.17</v>
      </c>
      <c r="I20" s="1">
        <f t="shared" si="0"/>
        <v>24.57</v>
      </c>
      <c r="J20" s="1">
        <f t="shared" si="1"/>
        <v>49.14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1">
        <v>20</v>
      </c>
      <c r="B21" s="1">
        <v>10</v>
      </c>
      <c r="C21" s="1" t="s">
        <v>73</v>
      </c>
      <c r="D21" s="1" t="s">
        <v>74</v>
      </c>
      <c r="E21" s="1" t="s">
        <v>59</v>
      </c>
      <c r="F21" s="1">
        <v>17.5</v>
      </c>
      <c r="G21" s="1">
        <v>7</v>
      </c>
      <c r="H21" s="1">
        <v>1.17</v>
      </c>
      <c r="I21" s="1">
        <f t="shared" si="0"/>
        <v>20.474999999999998</v>
      </c>
      <c r="J21" s="1">
        <f t="shared" si="1"/>
        <v>143.32499999999999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1">
        <v>21</v>
      </c>
      <c r="B22" s="1">
        <v>11</v>
      </c>
      <c r="C22" s="1" t="s">
        <v>75</v>
      </c>
      <c r="D22" s="1" t="s">
        <v>76</v>
      </c>
      <c r="E22" s="1" t="s">
        <v>77</v>
      </c>
      <c r="F22" s="1">
        <v>15</v>
      </c>
      <c r="G22" s="1">
        <v>2</v>
      </c>
      <c r="H22" s="1">
        <v>1.17</v>
      </c>
      <c r="I22" s="1">
        <f t="shared" si="0"/>
        <v>17.549999999999997</v>
      </c>
      <c r="J22" s="1">
        <f t="shared" si="1"/>
        <v>35.099999999999994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2" x14ac:dyDescent="0.4">
      <c r="A23" s="1">
        <v>22</v>
      </c>
      <c r="B23" s="1">
        <v>17</v>
      </c>
      <c r="C23" s="1" t="s">
        <v>78</v>
      </c>
      <c r="D23" s="1" t="s">
        <v>79</v>
      </c>
      <c r="E23" s="1" t="s">
        <v>80</v>
      </c>
      <c r="F23" s="1">
        <v>15.5</v>
      </c>
      <c r="G23" s="1">
        <v>8</v>
      </c>
      <c r="H23" s="1">
        <v>1.17</v>
      </c>
      <c r="I23" s="1">
        <f t="shared" si="0"/>
        <v>18.134999999999998</v>
      </c>
      <c r="J23" s="1">
        <f t="shared" si="1"/>
        <v>145.07999999999998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8" x14ac:dyDescent="0.4">
      <c r="A24" s="1">
        <v>23</v>
      </c>
      <c r="B24" s="1">
        <v>18</v>
      </c>
      <c r="C24" s="1" t="s">
        <v>81</v>
      </c>
      <c r="D24" s="1" t="s">
        <v>82</v>
      </c>
      <c r="E24" s="1" t="s">
        <v>37</v>
      </c>
      <c r="F24" s="1">
        <v>15.5</v>
      </c>
      <c r="G24" s="1">
        <v>4</v>
      </c>
      <c r="H24" s="1">
        <v>1.17</v>
      </c>
      <c r="I24" s="1">
        <f t="shared" si="0"/>
        <v>18.134999999999998</v>
      </c>
      <c r="J24" s="1">
        <f t="shared" si="1"/>
        <v>72.539999999999992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4" x14ac:dyDescent="0.4">
      <c r="A25" s="1">
        <v>24</v>
      </c>
      <c r="B25" s="1">
        <v>14</v>
      </c>
      <c r="C25" s="1" t="s">
        <v>83</v>
      </c>
      <c r="D25" s="1" t="s">
        <v>84</v>
      </c>
      <c r="E25" s="1" t="s">
        <v>77</v>
      </c>
      <c r="F25" s="1">
        <v>17</v>
      </c>
      <c r="G25" s="1">
        <v>2</v>
      </c>
      <c r="H25" s="1">
        <v>1.17</v>
      </c>
      <c r="I25" s="1">
        <f t="shared" si="0"/>
        <v>19.89</v>
      </c>
      <c r="J25" s="1">
        <f t="shared" si="1"/>
        <v>39.78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8" x14ac:dyDescent="0.4">
      <c r="A26" s="1">
        <v>25</v>
      </c>
      <c r="B26" s="1">
        <v>20</v>
      </c>
      <c r="C26" s="1" t="s">
        <v>85</v>
      </c>
      <c r="D26" s="1" t="s">
        <v>86</v>
      </c>
      <c r="E26" s="1" t="s">
        <v>87</v>
      </c>
      <c r="F26" s="1">
        <v>25.6</v>
      </c>
      <c r="G26" s="1">
        <v>9</v>
      </c>
      <c r="H26" s="1">
        <v>1.17</v>
      </c>
      <c r="I26" s="1">
        <f t="shared" si="0"/>
        <v>29.951999999999998</v>
      </c>
      <c r="J26" s="1">
        <f t="shared" si="1"/>
        <v>269.56799999999998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2" x14ac:dyDescent="0.4">
      <c r="A27" s="1">
        <v>26</v>
      </c>
      <c r="B27" s="1" t="s">
        <v>88</v>
      </c>
      <c r="C27" s="1" t="s">
        <v>89</v>
      </c>
      <c r="D27" s="1" t="s">
        <v>90</v>
      </c>
      <c r="E27" s="1" t="s">
        <v>77</v>
      </c>
      <c r="F27" s="1">
        <v>25.6</v>
      </c>
      <c r="G27" s="1">
        <v>3</v>
      </c>
      <c r="H27" s="1">
        <v>1.17</v>
      </c>
      <c r="I27" s="1">
        <f t="shared" si="0"/>
        <v>29.951999999999998</v>
      </c>
      <c r="J27" s="1">
        <f t="shared" si="1"/>
        <v>89.855999999999995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8" x14ac:dyDescent="0.4">
      <c r="A28" s="1">
        <v>27</v>
      </c>
      <c r="B28" s="1">
        <v>22</v>
      </c>
      <c r="C28" s="1" t="s">
        <v>91</v>
      </c>
      <c r="D28" s="1" t="s">
        <v>92</v>
      </c>
      <c r="E28" s="1" t="s">
        <v>93</v>
      </c>
      <c r="F28" s="1">
        <v>19.600000000000001</v>
      </c>
      <c r="G28" s="1">
        <v>7</v>
      </c>
      <c r="H28" s="1">
        <v>1.17</v>
      </c>
      <c r="I28" s="1">
        <f t="shared" si="0"/>
        <v>22.931999999999999</v>
      </c>
      <c r="J28" s="1">
        <f t="shared" si="1"/>
        <v>160.524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8" x14ac:dyDescent="0.4">
      <c r="A29" s="1">
        <v>28</v>
      </c>
      <c r="B29" s="1" t="s">
        <v>94</v>
      </c>
      <c r="C29" s="1" t="s">
        <v>95</v>
      </c>
      <c r="D29" s="1" t="s">
        <v>96</v>
      </c>
      <c r="E29" s="1" t="s">
        <v>97</v>
      </c>
      <c r="F29" s="1">
        <v>12.8</v>
      </c>
      <c r="G29" s="1">
        <v>8</v>
      </c>
      <c r="H29" s="1">
        <v>1.17</v>
      </c>
      <c r="I29" s="1">
        <f t="shared" si="0"/>
        <v>14.975999999999999</v>
      </c>
      <c r="J29" s="1">
        <f t="shared" si="1"/>
        <v>119.80799999999999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" x14ac:dyDescent="0.4">
      <c r="A30" s="1">
        <v>29</v>
      </c>
      <c r="B30" s="1" t="s">
        <v>98</v>
      </c>
      <c r="C30" s="1" t="s">
        <v>99</v>
      </c>
      <c r="D30" s="1" t="s">
        <v>100</v>
      </c>
      <c r="E30" s="1" t="s">
        <v>101</v>
      </c>
      <c r="F30" s="1">
        <v>9.8000000000000007</v>
      </c>
      <c r="G30" s="1">
        <v>1</v>
      </c>
      <c r="H30" s="1">
        <v>1.17</v>
      </c>
      <c r="I30" s="1">
        <f t="shared" si="0"/>
        <v>11.465999999999999</v>
      </c>
      <c r="J30" s="1">
        <f t="shared" si="1"/>
        <v>11.465999999999999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6" x14ac:dyDescent="0.4">
      <c r="A31" s="1">
        <v>30</v>
      </c>
      <c r="B31" s="1" t="s">
        <v>102</v>
      </c>
      <c r="C31" s="1" t="s">
        <v>103</v>
      </c>
      <c r="D31" s="1" t="s">
        <v>104</v>
      </c>
      <c r="E31" s="1" t="s">
        <v>105</v>
      </c>
      <c r="F31" s="1">
        <v>5.7</v>
      </c>
      <c r="G31" s="1">
        <v>1</v>
      </c>
      <c r="H31" s="1">
        <v>1.1699999999999899</v>
      </c>
      <c r="I31" s="1">
        <f t="shared" si="0"/>
        <v>6.6689999999999428</v>
      </c>
      <c r="J31" s="1">
        <f t="shared" si="1"/>
        <v>6.6689999999999428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8" x14ac:dyDescent="0.4">
      <c r="A32" s="1">
        <v>31</v>
      </c>
      <c r="B32" s="1">
        <v>26</v>
      </c>
      <c r="C32" s="1" t="s">
        <v>106</v>
      </c>
      <c r="D32" s="1" t="s">
        <v>107</v>
      </c>
      <c r="E32" s="1" t="s">
        <v>108</v>
      </c>
      <c r="F32" s="1">
        <v>32</v>
      </c>
      <c r="G32" s="1">
        <v>6</v>
      </c>
      <c r="H32" s="1">
        <v>1.1699999999999899</v>
      </c>
      <c r="I32" s="1">
        <f t="shared" si="0"/>
        <v>37.439999999999678</v>
      </c>
      <c r="J32" s="1">
        <f t="shared" si="1"/>
        <v>224.63999999999805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6" x14ac:dyDescent="0.4">
      <c r="A33" s="1">
        <v>32</v>
      </c>
      <c r="B33" s="1">
        <v>28</v>
      </c>
      <c r="C33" s="1" t="s">
        <v>109</v>
      </c>
      <c r="D33" s="1" t="s">
        <v>110</v>
      </c>
      <c r="E33" s="1" t="s">
        <v>37</v>
      </c>
      <c r="F33" s="1">
        <v>26</v>
      </c>
      <c r="G33" s="1">
        <v>6</v>
      </c>
      <c r="H33" s="1">
        <v>1.1699999999999899</v>
      </c>
      <c r="I33" s="1">
        <f t="shared" si="0"/>
        <v>30.419999999999739</v>
      </c>
      <c r="J33" s="1">
        <f t="shared" si="1"/>
        <v>182.51999999999845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0" x14ac:dyDescent="0.4">
      <c r="A34" s="1">
        <v>33</v>
      </c>
      <c r="B34" s="1">
        <v>30</v>
      </c>
      <c r="C34" s="1" t="s">
        <v>111</v>
      </c>
      <c r="D34" s="1" t="s">
        <v>112</v>
      </c>
      <c r="E34" s="1" t="s">
        <v>23</v>
      </c>
      <c r="F34" s="1">
        <v>21.5</v>
      </c>
      <c r="G34" s="1">
        <v>6</v>
      </c>
      <c r="H34" s="1">
        <v>1.1699999999999899</v>
      </c>
      <c r="I34" s="1">
        <f t="shared" si="0"/>
        <v>25.154999999999784</v>
      </c>
      <c r="J34" s="1">
        <f t="shared" si="1"/>
        <v>150.9299999999987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8" x14ac:dyDescent="0.4">
      <c r="A35" s="1">
        <v>34</v>
      </c>
      <c r="B35" s="1" t="s">
        <v>113</v>
      </c>
      <c r="C35" s="1" t="s">
        <v>114</v>
      </c>
      <c r="D35" s="1" t="s">
        <v>115</v>
      </c>
      <c r="E35" s="1" t="s">
        <v>37</v>
      </c>
      <c r="F35" s="1">
        <v>21.1</v>
      </c>
      <c r="G35" s="1">
        <v>5</v>
      </c>
      <c r="H35" s="1">
        <v>1.1699999999999899</v>
      </c>
      <c r="I35" s="1">
        <f t="shared" si="0"/>
        <v>24.686999999999788</v>
      </c>
      <c r="J35" s="1">
        <f t="shared" si="1"/>
        <v>123.43499999999894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72" x14ac:dyDescent="0.4">
      <c r="A36" s="1">
        <v>35</v>
      </c>
      <c r="B36" s="1" t="s">
        <v>116</v>
      </c>
      <c r="C36" s="1" t="s">
        <v>117</v>
      </c>
      <c r="D36" s="1" t="s">
        <v>118</v>
      </c>
      <c r="E36" s="1" t="s">
        <v>40</v>
      </c>
      <c r="F36" s="1">
        <v>31</v>
      </c>
      <c r="G36" s="1">
        <v>8</v>
      </c>
      <c r="H36" s="1">
        <v>1.1699999999999899</v>
      </c>
      <c r="I36" s="1">
        <f t="shared" si="0"/>
        <v>36.26999999999969</v>
      </c>
      <c r="J36" s="1">
        <f t="shared" si="1"/>
        <v>290.15999999999752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72" x14ac:dyDescent="0.4">
      <c r="A37" s="1">
        <v>36</v>
      </c>
      <c r="B37" s="1">
        <v>32</v>
      </c>
      <c r="C37" s="1" t="s">
        <v>119</v>
      </c>
      <c r="D37" s="1" t="s">
        <v>120</v>
      </c>
      <c r="E37" s="1" t="s">
        <v>87</v>
      </c>
      <c r="F37" s="1">
        <v>37.700000000000003</v>
      </c>
      <c r="G37" s="1">
        <v>14</v>
      </c>
      <c r="H37" s="1">
        <v>1.1699999999999899</v>
      </c>
      <c r="I37" s="1">
        <f t="shared" si="0"/>
        <v>44.108999999999625</v>
      </c>
      <c r="J37" s="1">
        <f t="shared" si="1"/>
        <v>617.52599999999472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8" x14ac:dyDescent="0.4">
      <c r="A38" s="1">
        <v>37</v>
      </c>
      <c r="B38" s="1" t="s">
        <v>121</v>
      </c>
      <c r="C38" s="1" t="s">
        <v>122</v>
      </c>
      <c r="D38" s="1" t="s">
        <v>123</v>
      </c>
      <c r="E38" s="1" t="s">
        <v>59</v>
      </c>
      <c r="F38" s="1">
        <v>31</v>
      </c>
      <c r="G38" s="1">
        <v>10</v>
      </c>
      <c r="H38" s="1">
        <v>1.1699999999999899</v>
      </c>
      <c r="I38" s="1">
        <f t="shared" si="0"/>
        <v>36.26999999999969</v>
      </c>
      <c r="J38" s="1">
        <f t="shared" si="1"/>
        <v>362.69999999999692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8" x14ac:dyDescent="0.4">
      <c r="A39" s="1">
        <v>38</v>
      </c>
      <c r="B39" s="1">
        <v>34</v>
      </c>
      <c r="C39" s="1" t="s">
        <v>124</v>
      </c>
      <c r="D39" s="1" t="s">
        <v>125</v>
      </c>
      <c r="E39" s="1" t="s">
        <v>59</v>
      </c>
      <c r="F39" s="1">
        <v>28</v>
      </c>
      <c r="G39" s="1">
        <v>9</v>
      </c>
      <c r="H39" s="1">
        <v>1.1699999999999899</v>
      </c>
      <c r="I39" s="1">
        <f t="shared" si="0"/>
        <v>32.759999999999721</v>
      </c>
      <c r="J39" s="1">
        <f t="shared" si="1"/>
        <v>294.83999999999747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2" x14ac:dyDescent="0.4">
      <c r="A40" s="1">
        <v>39</v>
      </c>
      <c r="B40" s="1">
        <v>35</v>
      </c>
      <c r="C40" s="1" t="s">
        <v>126</v>
      </c>
      <c r="D40" s="1" t="s">
        <v>127</v>
      </c>
      <c r="E40" s="1" t="s">
        <v>59</v>
      </c>
      <c r="F40" s="1">
        <v>18.3</v>
      </c>
      <c r="G40" s="1">
        <v>5</v>
      </c>
      <c r="H40" s="1">
        <v>1.1699999999999899</v>
      </c>
      <c r="I40" s="1">
        <f t="shared" si="0"/>
        <v>21.410999999999817</v>
      </c>
      <c r="J40" s="1">
        <f t="shared" si="1"/>
        <v>107.05499999999908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0" x14ac:dyDescent="0.4">
      <c r="A41" s="1">
        <v>40</v>
      </c>
      <c r="B41" s="1" t="s">
        <v>128</v>
      </c>
      <c r="C41" s="1" t="s">
        <v>129</v>
      </c>
      <c r="D41" s="1" t="s">
        <v>130</v>
      </c>
      <c r="E41" s="1" t="s">
        <v>131</v>
      </c>
      <c r="F41" s="1">
        <v>23</v>
      </c>
      <c r="G41" s="1">
        <v>4</v>
      </c>
      <c r="H41" s="1">
        <v>1.1699999999999899</v>
      </c>
      <c r="I41" s="1">
        <f t="shared" si="0"/>
        <v>26.909999999999769</v>
      </c>
      <c r="J41" s="1">
        <f t="shared" si="1"/>
        <v>107.63999999999908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0" x14ac:dyDescent="0.4">
      <c r="A42" s="1">
        <v>41</v>
      </c>
      <c r="B42" s="1" t="s">
        <v>132</v>
      </c>
      <c r="C42" s="1" t="s">
        <v>133</v>
      </c>
      <c r="D42" s="1" t="s">
        <v>134</v>
      </c>
      <c r="E42" s="1" t="s">
        <v>135</v>
      </c>
      <c r="F42" s="1">
        <v>19.2</v>
      </c>
      <c r="G42" s="1">
        <v>9</v>
      </c>
      <c r="H42" s="1">
        <v>1.1699999999999899</v>
      </c>
      <c r="I42" s="1">
        <f t="shared" si="0"/>
        <v>22.463999999999807</v>
      </c>
      <c r="J42" s="1">
        <f t="shared" si="1"/>
        <v>202.17599999999825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4" x14ac:dyDescent="0.4">
      <c r="A43" s="1">
        <v>42</v>
      </c>
      <c r="B43" s="1" t="s">
        <v>136</v>
      </c>
      <c r="C43" s="1" t="s">
        <v>137</v>
      </c>
      <c r="D43" s="1" t="s">
        <v>138</v>
      </c>
      <c r="E43" s="1" t="s">
        <v>70</v>
      </c>
      <c r="F43" s="1">
        <v>32</v>
      </c>
      <c r="G43" s="1">
        <v>2</v>
      </c>
      <c r="H43" s="1">
        <v>1.1699999999999899</v>
      </c>
      <c r="I43" s="1">
        <f t="shared" si="0"/>
        <v>37.439999999999678</v>
      </c>
      <c r="J43" s="1">
        <f t="shared" si="1"/>
        <v>74.879999999999356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4" x14ac:dyDescent="0.4">
      <c r="A44" s="1">
        <v>43</v>
      </c>
      <c r="B44" s="1">
        <v>38</v>
      </c>
      <c r="C44" s="1" t="s">
        <v>139</v>
      </c>
      <c r="D44" s="1" t="s">
        <v>140</v>
      </c>
      <c r="E44" s="1" t="s">
        <v>77</v>
      </c>
      <c r="F44" s="1">
        <v>27</v>
      </c>
      <c r="G44" s="1">
        <v>3</v>
      </c>
      <c r="H44" s="1">
        <v>1.1699999999999899</v>
      </c>
      <c r="I44" s="1">
        <f t="shared" si="0"/>
        <v>31.58999999999973</v>
      </c>
      <c r="J44" s="1">
        <f t="shared" si="1"/>
        <v>94.769999999999186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8" x14ac:dyDescent="0.4">
      <c r="A45" s="1">
        <v>44</v>
      </c>
      <c r="B45" s="1" t="s">
        <v>141</v>
      </c>
      <c r="C45" s="1" t="s">
        <v>142</v>
      </c>
      <c r="D45" s="1" t="s">
        <v>143</v>
      </c>
      <c r="E45" s="1" t="s">
        <v>144</v>
      </c>
      <c r="F45" s="1">
        <v>32</v>
      </c>
      <c r="G45" s="1">
        <v>3</v>
      </c>
      <c r="H45" s="1">
        <v>1.1699999999999899</v>
      </c>
      <c r="I45" s="1">
        <f t="shared" si="0"/>
        <v>37.439999999999678</v>
      </c>
      <c r="J45" s="1">
        <f t="shared" si="1"/>
        <v>112.31999999999903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8" x14ac:dyDescent="0.4">
      <c r="A46" s="1">
        <v>45</v>
      </c>
      <c r="B46" s="1">
        <v>39</v>
      </c>
      <c r="C46" s="1" t="s">
        <v>145</v>
      </c>
      <c r="D46" s="1" t="s">
        <v>146</v>
      </c>
      <c r="E46" s="1" t="s">
        <v>80</v>
      </c>
      <c r="F46" s="1">
        <v>27.5</v>
      </c>
      <c r="G46" s="1">
        <v>12</v>
      </c>
      <c r="H46" s="1">
        <v>1.1699999999999899</v>
      </c>
      <c r="I46" s="1">
        <f t="shared" si="0"/>
        <v>32.17499999999972</v>
      </c>
      <c r="J46" s="1">
        <f t="shared" si="1"/>
        <v>386.09999999999661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6" x14ac:dyDescent="0.4">
      <c r="A47" s="1">
        <v>46</v>
      </c>
      <c r="B47" s="1">
        <v>71</v>
      </c>
      <c r="C47" s="1" t="s">
        <v>147</v>
      </c>
      <c r="D47" s="1" t="s">
        <v>148</v>
      </c>
      <c r="E47" s="1" t="s">
        <v>37</v>
      </c>
      <c r="F47" s="1">
        <v>24</v>
      </c>
      <c r="G47" s="1">
        <v>6</v>
      </c>
      <c r="H47" s="1">
        <v>1.1699999999999899</v>
      </c>
      <c r="I47" s="1">
        <f t="shared" si="0"/>
        <v>28.079999999999757</v>
      </c>
      <c r="J47" s="1">
        <f t="shared" si="1"/>
        <v>168.47999999999854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0" x14ac:dyDescent="0.4">
      <c r="A48" s="1">
        <v>47</v>
      </c>
      <c r="B48" s="1">
        <v>79</v>
      </c>
      <c r="C48" s="1" t="s">
        <v>149</v>
      </c>
      <c r="D48" s="1" t="s">
        <v>150</v>
      </c>
      <c r="E48" s="1" t="s">
        <v>105</v>
      </c>
      <c r="F48" s="1">
        <v>27.9</v>
      </c>
      <c r="G48" s="1">
        <v>4</v>
      </c>
      <c r="H48" s="1">
        <v>1.1699999999999899</v>
      </c>
      <c r="I48" s="1">
        <f t="shared" si="0"/>
        <v>32.642999999999716</v>
      </c>
      <c r="J48" s="1">
        <f t="shared" si="1"/>
        <v>130.57199999999887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0" x14ac:dyDescent="0.4">
      <c r="A49" s="1">
        <v>48</v>
      </c>
      <c r="B49" s="1">
        <v>80</v>
      </c>
      <c r="C49" s="1" t="s">
        <v>151</v>
      </c>
      <c r="D49" s="1" t="s">
        <v>152</v>
      </c>
      <c r="E49" s="1" t="s">
        <v>37</v>
      </c>
      <c r="F49" s="1">
        <v>20</v>
      </c>
      <c r="G49" s="1">
        <v>5</v>
      </c>
      <c r="H49" s="1">
        <v>1.1699999999999899</v>
      </c>
      <c r="I49" s="1">
        <f t="shared" si="0"/>
        <v>23.3999999999998</v>
      </c>
      <c r="J49" s="1">
        <f t="shared" si="1"/>
        <v>116.99999999999901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72" x14ac:dyDescent="0.4">
      <c r="A50" s="1">
        <v>49</v>
      </c>
      <c r="B50" s="1">
        <v>85</v>
      </c>
      <c r="C50" s="1" t="s">
        <v>153</v>
      </c>
      <c r="D50" s="1" t="s">
        <v>154</v>
      </c>
      <c r="E50" s="1" t="s">
        <v>155</v>
      </c>
      <c r="F50" s="1">
        <v>19.5</v>
      </c>
      <c r="G50" s="1">
        <v>5</v>
      </c>
      <c r="H50" s="1">
        <v>1.1699999999999899</v>
      </c>
      <c r="I50" s="1">
        <f t="shared" si="0"/>
        <v>22.814999999999802</v>
      </c>
      <c r="J50" s="1">
        <f t="shared" si="1"/>
        <v>114.07499999999901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4" x14ac:dyDescent="0.4">
      <c r="A51" s="1">
        <v>50</v>
      </c>
      <c r="B51" s="1">
        <v>101</v>
      </c>
      <c r="C51" s="1" t="s">
        <v>156</v>
      </c>
      <c r="D51" s="1" t="s">
        <v>157</v>
      </c>
      <c r="E51" s="1" t="s">
        <v>101</v>
      </c>
      <c r="F51" s="1">
        <v>24</v>
      </c>
      <c r="G51" s="1">
        <v>2</v>
      </c>
      <c r="H51" s="1">
        <v>1.1699999999999899</v>
      </c>
      <c r="I51" s="1">
        <f t="shared" si="0"/>
        <v>28.079999999999757</v>
      </c>
      <c r="J51" s="1">
        <f t="shared" si="1"/>
        <v>56.159999999999513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0" x14ac:dyDescent="0.4">
      <c r="A52" s="1">
        <v>51</v>
      </c>
      <c r="B52" s="1" t="s">
        <v>158</v>
      </c>
      <c r="C52" s="1" t="s">
        <v>159</v>
      </c>
      <c r="D52" s="1" t="s">
        <v>160</v>
      </c>
      <c r="E52" s="1" t="s">
        <v>37</v>
      </c>
      <c r="F52" s="1">
        <v>19.8</v>
      </c>
      <c r="G52" s="1">
        <v>5</v>
      </c>
      <c r="H52" s="1">
        <v>1.1699999999999899</v>
      </c>
      <c r="I52" s="1">
        <f t="shared" si="0"/>
        <v>23.165999999999801</v>
      </c>
      <c r="J52" s="1">
        <f t="shared" si="1"/>
        <v>115.829999999999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8" x14ac:dyDescent="0.4">
      <c r="A53" s="1">
        <v>52</v>
      </c>
      <c r="B53" s="1">
        <v>202</v>
      </c>
      <c r="C53" s="1" t="s">
        <v>161</v>
      </c>
      <c r="D53" s="1" t="s">
        <v>162</v>
      </c>
      <c r="E53" s="1" t="s">
        <v>80</v>
      </c>
      <c r="F53" s="1">
        <v>13</v>
      </c>
      <c r="G53" s="1">
        <v>6</v>
      </c>
      <c r="H53" s="1">
        <v>1.1699999999999899</v>
      </c>
      <c r="I53" s="1">
        <f t="shared" si="0"/>
        <v>15.209999999999869</v>
      </c>
      <c r="J53" s="1">
        <f t="shared" si="1"/>
        <v>91.259999999999224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72" x14ac:dyDescent="0.4">
      <c r="A54" s="1">
        <v>53</v>
      </c>
      <c r="B54" s="1">
        <v>551</v>
      </c>
      <c r="C54" s="1" t="s">
        <v>163</v>
      </c>
      <c r="D54" s="1" t="s">
        <v>164</v>
      </c>
      <c r="E54" s="1" t="s">
        <v>31</v>
      </c>
      <c r="F54" s="1">
        <v>11</v>
      </c>
      <c r="G54" s="1">
        <v>9</v>
      </c>
      <c r="H54" s="1">
        <v>1.1699999999999899</v>
      </c>
      <c r="I54" s="1">
        <f t="shared" si="0"/>
        <v>12.869999999999889</v>
      </c>
      <c r="J54" s="1">
        <f t="shared" si="1"/>
        <v>115.829999999999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0" x14ac:dyDescent="0.4">
      <c r="A55" s="1">
        <v>54</v>
      </c>
      <c r="B55" s="1">
        <v>206</v>
      </c>
      <c r="C55" s="1" t="s">
        <v>165</v>
      </c>
      <c r="D55" s="1" t="s">
        <v>166</v>
      </c>
      <c r="E55" s="1" t="s">
        <v>59</v>
      </c>
      <c r="F55" s="1">
        <v>18.100000000000001</v>
      </c>
      <c r="G55" s="1">
        <v>7</v>
      </c>
      <c r="H55" s="1">
        <v>1.1699999999999899</v>
      </c>
      <c r="I55" s="1">
        <f t="shared" si="0"/>
        <v>21.176999999999818</v>
      </c>
      <c r="J55" s="1">
        <f t="shared" si="1"/>
        <v>148.23899999999873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0" x14ac:dyDescent="0.4">
      <c r="A56" s="1">
        <v>55</v>
      </c>
      <c r="B56" s="1">
        <v>212</v>
      </c>
      <c r="C56" s="1" t="s">
        <v>167</v>
      </c>
      <c r="D56" s="1" t="s">
        <v>168</v>
      </c>
      <c r="E56" s="1" t="s">
        <v>169</v>
      </c>
      <c r="F56" s="1">
        <v>26.5</v>
      </c>
      <c r="G56" s="1">
        <v>8</v>
      </c>
      <c r="H56" s="1">
        <v>1.1699999999999899</v>
      </c>
      <c r="I56" s="1">
        <f t="shared" si="0"/>
        <v>31.004999999999733</v>
      </c>
      <c r="J56" s="1">
        <f t="shared" si="1"/>
        <v>248.03999999999786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0" x14ac:dyDescent="0.4">
      <c r="A57" s="1">
        <v>56</v>
      </c>
      <c r="B57" s="1">
        <v>213</v>
      </c>
      <c r="C57" s="1" t="s">
        <v>170</v>
      </c>
      <c r="D57" s="1" t="s">
        <v>171</v>
      </c>
      <c r="E57" s="1" t="s">
        <v>172</v>
      </c>
      <c r="F57" s="1">
        <v>34</v>
      </c>
      <c r="G57" s="1">
        <v>4</v>
      </c>
      <c r="H57" s="1">
        <v>1.1699999999999899</v>
      </c>
      <c r="I57" s="1">
        <f t="shared" si="0"/>
        <v>39.77999999999966</v>
      </c>
      <c r="J57" s="1">
        <f t="shared" si="1"/>
        <v>159.11999999999864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8" x14ac:dyDescent="0.4">
      <c r="A58" s="1">
        <v>57</v>
      </c>
      <c r="B58" s="1">
        <v>214</v>
      </c>
      <c r="C58" s="1" t="s">
        <v>173</v>
      </c>
      <c r="D58" s="1" t="s">
        <v>174</v>
      </c>
      <c r="E58" s="1" t="s">
        <v>108</v>
      </c>
      <c r="F58" s="1">
        <v>31</v>
      </c>
      <c r="G58" s="1">
        <v>6</v>
      </c>
      <c r="H58" s="1">
        <v>1.1699999999999899</v>
      </c>
      <c r="I58" s="1">
        <f t="shared" si="0"/>
        <v>36.26999999999969</v>
      </c>
      <c r="J58" s="1">
        <f t="shared" si="1"/>
        <v>217.61999999999813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0" x14ac:dyDescent="0.4">
      <c r="A59" s="1">
        <v>58</v>
      </c>
      <c r="B59" s="1">
        <v>219</v>
      </c>
      <c r="C59" s="1" t="s">
        <v>175</v>
      </c>
      <c r="D59" s="1" t="s">
        <v>176</v>
      </c>
      <c r="E59" s="1" t="s">
        <v>37</v>
      </c>
      <c r="F59" s="1">
        <v>27.6</v>
      </c>
      <c r="G59" s="1">
        <v>6</v>
      </c>
      <c r="H59" s="1">
        <v>1.1699999999999899</v>
      </c>
      <c r="I59" s="1">
        <f t="shared" si="0"/>
        <v>32.291999999999724</v>
      </c>
      <c r="J59" s="1">
        <f t="shared" si="1"/>
        <v>193.75199999999836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8" x14ac:dyDescent="0.4">
      <c r="A60" s="1">
        <v>59</v>
      </c>
      <c r="B60" s="1">
        <v>240</v>
      </c>
      <c r="C60" s="1" t="s">
        <v>177</v>
      </c>
      <c r="D60" s="1" t="s">
        <v>178</v>
      </c>
      <c r="E60" s="1" t="s">
        <v>37</v>
      </c>
      <c r="F60" s="1">
        <v>20.399999999999999</v>
      </c>
      <c r="G60" s="1">
        <v>5</v>
      </c>
      <c r="H60" s="1">
        <v>1.1699999999999899</v>
      </c>
      <c r="I60" s="1">
        <f t="shared" si="0"/>
        <v>23.867999999999792</v>
      </c>
      <c r="J60" s="1">
        <f t="shared" si="1"/>
        <v>119.33999999999897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6" x14ac:dyDescent="0.4">
      <c r="A61" s="1">
        <v>60</v>
      </c>
      <c r="B61" s="1">
        <v>216</v>
      </c>
      <c r="C61" s="1" t="s">
        <v>179</v>
      </c>
      <c r="D61" s="1" t="s">
        <v>180</v>
      </c>
      <c r="E61" s="1" t="s">
        <v>59</v>
      </c>
      <c r="F61" s="1">
        <v>26</v>
      </c>
      <c r="G61" s="1">
        <v>8</v>
      </c>
      <c r="H61" s="1">
        <v>1.1699999999999899</v>
      </c>
      <c r="I61" s="1">
        <f t="shared" si="0"/>
        <v>30.419999999999739</v>
      </c>
      <c r="J61" s="1">
        <f t="shared" si="1"/>
        <v>243.35999999999791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8" x14ac:dyDescent="0.4">
      <c r="A62" s="1">
        <v>61</v>
      </c>
      <c r="B62" s="1">
        <v>240</v>
      </c>
      <c r="C62" s="1" t="s">
        <v>181</v>
      </c>
      <c r="D62" s="1" t="s">
        <v>178</v>
      </c>
      <c r="E62" s="1" t="s">
        <v>37</v>
      </c>
      <c r="F62" s="1">
        <v>20.399999999999999</v>
      </c>
      <c r="G62" s="1">
        <v>5</v>
      </c>
      <c r="H62" s="1">
        <v>1.1699999999999899</v>
      </c>
      <c r="I62" s="1">
        <f t="shared" si="0"/>
        <v>23.867999999999792</v>
      </c>
      <c r="J62" s="1">
        <f t="shared" si="1"/>
        <v>119.33999999999897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8" x14ac:dyDescent="0.4">
      <c r="A63" s="1">
        <v>62</v>
      </c>
      <c r="B63" s="1">
        <v>241</v>
      </c>
      <c r="C63" s="1" t="s">
        <v>182</v>
      </c>
      <c r="D63" s="1" t="s">
        <v>183</v>
      </c>
      <c r="E63" s="1" t="s">
        <v>16</v>
      </c>
      <c r="F63" s="1">
        <v>24.5</v>
      </c>
      <c r="G63" s="1">
        <v>7</v>
      </c>
      <c r="H63" s="1">
        <v>1.1699999999999899</v>
      </c>
      <c r="I63" s="1">
        <f t="shared" si="0"/>
        <v>28.664999999999754</v>
      </c>
      <c r="J63" s="1">
        <f t="shared" si="1"/>
        <v>200.65499999999827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0" x14ac:dyDescent="0.4">
      <c r="A64" s="1">
        <v>63</v>
      </c>
      <c r="B64" s="1">
        <v>242</v>
      </c>
      <c r="C64" s="1" t="s">
        <v>184</v>
      </c>
      <c r="D64" s="1" t="s">
        <v>185</v>
      </c>
      <c r="E64" s="1" t="s">
        <v>16</v>
      </c>
      <c r="F64" s="1">
        <v>36</v>
      </c>
      <c r="G64" s="1">
        <v>9</v>
      </c>
      <c r="H64" s="1">
        <v>1.1699999999999899</v>
      </c>
      <c r="I64" s="1">
        <f t="shared" si="0"/>
        <v>42.119999999999635</v>
      </c>
      <c r="J64" s="1">
        <f t="shared" si="1"/>
        <v>379.07999999999674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54" x14ac:dyDescent="0.4">
      <c r="A65" s="1">
        <v>64</v>
      </c>
      <c r="B65" s="1">
        <v>70</v>
      </c>
      <c r="C65" s="1" t="s">
        <v>186</v>
      </c>
      <c r="D65" s="1" t="s">
        <v>187</v>
      </c>
      <c r="E65" s="1" t="s">
        <v>188</v>
      </c>
      <c r="F65" s="1">
        <v>15</v>
      </c>
      <c r="G65" s="1">
        <v>1</v>
      </c>
      <c r="H65" s="1">
        <v>1.1699999999999899</v>
      </c>
      <c r="I65" s="1">
        <f t="shared" si="0"/>
        <v>17.549999999999848</v>
      </c>
      <c r="J65" s="1">
        <f t="shared" si="1"/>
        <v>17.549999999999848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8" x14ac:dyDescent="0.4">
      <c r="A66" s="1">
        <v>65</v>
      </c>
      <c r="B66" s="1">
        <v>76</v>
      </c>
      <c r="C66" s="1" t="s">
        <v>189</v>
      </c>
      <c r="D66" s="1" t="s">
        <v>190</v>
      </c>
      <c r="E66" s="1" t="s">
        <v>191</v>
      </c>
      <c r="F66" s="1">
        <v>31</v>
      </c>
      <c r="G66" s="1">
        <v>4</v>
      </c>
      <c r="H66" s="1">
        <v>1.1699999999999899</v>
      </c>
      <c r="I66" s="1">
        <f t="shared" si="0"/>
        <v>36.26999999999969</v>
      </c>
      <c r="J66" s="1">
        <f t="shared" si="1"/>
        <v>145.07999999999876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8" x14ac:dyDescent="0.4">
      <c r="A67" s="1">
        <v>66</v>
      </c>
      <c r="B67" s="1" t="s">
        <v>192</v>
      </c>
      <c r="C67" s="1" t="s">
        <v>193</v>
      </c>
      <c r="D67" s="1" t="s">
        <v>194</v>
      </c>
      <c r="E67" s="1" t="s">
        <v>135</v>
      </c>
      <c r="F67" s="1">
        <v>18.7</v>
      </c>
      <c r="G67" s="1">
        <v>10</v>
      </c>
      <c r="H67" s="1">
        <v>1.1699999999999899</v>
      </c>
      <c r="I67" s="1">
        <f t="shared" ref="I67:I70" si="2">PRODUCT(F67,H67)</f>
        <v>21.878999999999809</v>
      </c>
      <c r="J67" s="1">
        <f t="shared" ref="J67:J70" si="3">PRODUCT(I67,G67)</f>
        <v>218.78999999999809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72" x14ac:dyDescent="0.4">
      <c r="A68" s="1">
        <v>67</v>
      </c>
      <c r="B68" s="1">
        <v>202</v>
      </c>
      <c r="C68" s="1" t="s">
        <v>195</v>
      </c>
      <c r="D68" s="1" t="s">
        <v>196</v>
      </c>
      <c r="E68" s="1" t="s">
        <v>80</v>
      </c>
      <c r="F68" s="1">
        <v>13</v>
      </c>
      <c r="G68" s="1">
        <v>6</v>
      </c>
      <c r="H68" s="1">
        <v>1.1699999999999899</v>
      </c>
      <c r="I68" s="1">
        <f t="shared" si="2"/>
        <v>15.209999999999869</v>
      </c>
      <c r="J68" s="1">
        <f t="shared" si="3"/>
        <v>91.259999999999224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0" x14ac:dyDescent="0.4">
      <c r="A69" s="1">
        <v>68</v>
      </c>
      <c r="B69" s="1">
        <v>31</v>
      </c>
      <c r="C69" s="1" t="s">
        <v>197</v>
      </c>
      <c r="D69" s="1" t="s">
        <v>198</v>
      </c>
      <c r="E69" s="1" t="s">
        <v>77</v>
      </c>
      <c r="F69" s="1">
        <v>37</v>
      </c>
      <c r="G69" s="1">
        <v>4</v>
      </c>
      <c r="H69" s="1">
        <v>1.1699999999999899</v>
      </c>
      <c r="I69" s="1">
        <f t="shared" si="2"/>
        <v>43.28999999999963</v>
      </c>
      <c r="J69" s="1">
        <f t="shared" si="3"/>
        <v>173.15999999999852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6" x14ac:dyDescent="0.4">
      <c r="A70" s="1">
        <v>69</v>
      </c>
      <c r="B70" s="1" t="s">
        <v>199</v>
      </c>
      <c r="C70" s="1" t="s">
        <v>200</v>
      </c>
      <c r="D70" s="1" t="s">
        <v>201</v>
      </c>
      <c r="E70" s="1" t="s">
        <v>202</v>
      </c>
      <c r="F70" s="1">
        <v>22</v>
      </c>
      <c r="G70" s="1">
        <v>8</v>
      </c>
      <c r="H70" s="1">
        <v>1.1699999999999899</v>
      </c>
      <c r="I70" s="1">
        <f t="shared" si="2"/>
        <v>25.739999999999778</v>
      </c>
      <c r="J70" s="1">
        <f t="shared" si="3"/>
        <v>205.91999999999823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4">
      <c r="A71" s="1"/>
      <c r="B71" s="1"/>
      <c r="C71" s="1"/>
      <c r="D71" s="1"/>
      <c r="E71" s="1"/>
      <c r="F71" s="1"/>
      <c r="G71" s="1">
        <f>SUM(G2:G70)</f>
        <v>396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CTU BUS Energy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</cp:lastModifiedBy>
  <dcterms:modified xsi:type="dcterms:W3CDTF">2026-02-27T07:15:34Z</dcterms:modified>
</cp:coreProperties>
</file>